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5C03261E-B073-4D9A-8F7A-A121028EFC8F}" xr6:coauthVersionLast="47" xr6:coauthVersionMax="47" xr10:uidLastSave="{00000000-0000-0000-0000-000000000000}"/>
  <bookViews>
    <workbookView xWindow="600" yWindow="300" windowWidth="15300" windowHeight="11400" activeTab="2" xr2:uid="{00000000-000D-0000-FFFF-FFFF00000000}"/>
  </bookViews>
  <sheets>
    <sheet name="Start" sheetId="1" r:id="rId1"/>
    <sheet name="_All" sheetId="2" state="veryHidden" r:id="rId2"/>
    <sheet name="Ranks" sheetId="3" r:id="rId3"/>
    <sheet name="_Status" sheetId="4" state="veryHidden" r:id="rId4"/>
  </sheets>
  <definedNames>
    <definedName name="_xlnm._FilterDatabase" localSheetId="2" hidden="1">Ranks!$A$4:$E$5</definedName>
    <definedName name="AsinFilter">Start!$B$21:$C$21</definedName>
    <definedName name="DateWindow">Ranks!$B$2:$C$2</definedName>
    <definedName name="ExportFolder">Start!$B$16:$C$17</definedName>
    <definedName name="LoadStatus" localSheetId="3">_Status!$A$1:$G$2</definedName>
    <definedName name="PageOffset">Ranks!$E$2</definedName>
    <definedName name="QueryInputs">Start!$D$200</definedName>
    <definedName name="RanksFromFolder" localSheetId="1">_All!$A$1:$E$1</definedName>
    <definedName name="RankSort">Ranks!$D$2</definedName>
    <definedName name="ViewAsin">Ranks!$A$2</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1" l="1"/>
  <c r="B25" i="1"/>
  <c r="A4" i="3" a="1"/>
  <c r="A4" i="3" s="1"/>
  <c r="A3" i="3"/>
  <c r="D20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86130C-F801-4B4E-B88D-00BB8BBD1549}" keepAlive="1" name="Connection" type="5" refreshedVersion="8" saveData="1">
    <dbPr connection="Provider=Microsoft.Mashup.OleDb.1;Data Source=$Workbook$;Location=RanksFromFolder;Extended Properties=&quot;&quot;" command="SELECT * FROM [RanksFromFolder]"/>
  </connection>
  <connection id="2" xr16:uid="{4EB538BA-601E-4895-82C0-DD3E61D7CE73}" keepAlive="1" name="Connection1" type="5" refreshedVersion="8" saveData="1">
    <dbPr connection="Provider=Microsoft.Mashup.OleDb.1;Data Source=$Workbook$;Location=LoadStatus;Extended Properties=&quot;&quot;" command="SELECT * FROM [LoadStatus]"/>
  </connection>
  <connection id="3" xr16:uid="{61F90689-BAD1-45AD-AE3D-CDB87FEF8B95}" name="Query - LoadStatus" description="Load window status" type="5" refreshedVersion="0">
    <dbPr connection="Provider=Microsoft.Mashup.OleDb.1;Data Source=$Workbook$;Location=LoadStatus;Extended Properties=&quot;&quot;" command="SELECT * FROM [LoadStatus]"/>
  </connection>
  <connection id="4" xr16:uid="{F4FE5690-C6EC-4ABD-9F43-3B2AD38A998A}" name="Query - RanksFromFolder" description="Folder of rank_export CSV files" type="5" refreshedVersion="0">
    <dbPr connection="Provider=Microsoft.Mashup.OleDb.1;Data Source=$Workbook$;Location=RanksFromFolder;Extended Properties=&quot;&quot;" command="SELECT * FROM [RanksFromFold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<sst xmlns="http://schemas.openxmlformats.org/spreadsheetml/2006/main" count="37" uniqueCount="37">
  <si>
    <t>Live Amazon Rank Tracker</t>
  </si>
  <si>
    <t>Rank over time</t>
  </si>
  <si>
    <t>Free Excel companion. Point at a folder of rank_export CSV files from the extension.</t>
  </si>
  <si>
    <t>How to use it</t>
  </si>
  <si>
    <t>Create one folder for your rank_export CSV files. Save each Check there.</t>
  </si>
  <si>
    <t>If Excel opens Protected View, click Enable Editing. No macro.</t>
  </si>
  <si>
    <t>Paste the folder path into the box below.</t>
  </si>
  <si>
    <t>Click Data, then Refresh All. Large folders auto-load fewer days. Range, Sort, and Older on Ranks apply to days already loaded.</t>
  </si>
  <si>
    <t>Optional: type one ASIN below the folder, then Refresh All to load that product deeper.</t>
  </si>
  <si>
    <t>Sort keeps every Type for a keyword together. Rank = place in the full list. Absolute = organic-only.</t>
  </si>
  <si>
    <t>Your folder</t>
  </si>
  <si>
    <t>Notes / copy</t>
  </si>
  <si>
    <t>Paste a folder path here, then Data &gt; Refresh All. Hydrated Drive or OneDrive folders work. Cloud-only placeholders may come back empty.</t>
  </si>
  <si>
    <t>Optional ASIN</t>
  </si>
  <si>
    <t>Blank = all</t>
  </si>
  <si>
    <t>Optional for small folders; required when a large folder would make Excel unresponsive. Type one ASIN, then Refresh All. After loading, use Ranks View ASIN for an instant view filter.</t>
  </si>
  <si>
    <t>Your data</t>
  </si>
  <si>
    <t>Companion v1.2.15</t>
  </si>
  <si>
    <t>ASIN</t>
  </si>
  <si>
    <t>Marketplace</t>
  </si>
  <si>
    <t>Zip</t>
  </si>
  <si>
    <t>Keyword</t>
  </si>
  <si>
    <t>Type</t>
  </si>
  <si>
    <t>View ASIN</t>
  </si>
  <si>
    <t>Range</t>
  </si>
  <si>
    <t>Sort</t>
  </si>
  <si>
    <t>Older (days)</t>
  </si>
  <si>
    <t>Last 7 days</t>
  </si>
  <si>
    <t>Keyword A to Z</t>
  </si>
  <si>
    <t>FolderDays</t>
  </si>
  <si>
    <t>LoadedDays</t>
  </si>
  <si>
    <t>RequestedDays</t>
  </si>
  <si>
    <t>AutoDays</t>
  </si>
  <si>
    <t>SizeCapped</t>
  </si>
  <si>
    <t>Clamped</t>
  </si>
  <si>
    <t>Note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</si>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</sst>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9"/>
      <color rgb="FFE8EEF4"/>
      <name val="Segoe UI"/>
    </font>
    <font>
      <b/>
      <sz val="20"/>
      <color rgb="FFE8EEF4"/>
      <name val="Segoe UI"/>
    </font>
    <font>
      <b/>
      <sz val="12"/>
      <color rgb="FF1FD0D6"/>
      <name val="Segoe UI"/>
    </font>
    <font>
      <sz val="9"/>
      <color rgb="FF8AA0B3"/>
      <name val="Segoe UI"/>
    </font>
    <font>
      <b/>
      <sz val="14"/>
      <color rgb="FF1FD0D6"/>
      <name val="Segoe UI"/>
    </font>
    <font>
      <sz val="12"/>
      <color rgb="FF1FD0D6"/>
      <name val="Segoe UI"/>
    </font>
    <font>
      <b/>
      <sz val="11"/>
      <color theme="1"/>
      <name val="Calibri"/>
      <family val="2"/>
      <scheme val="minor"/>
    </font>
    <font>
      <sz val="9"/>
      <color rgb="FF8AA0B3"/>
      <name val="Segoe UI"/>
      <family val="2"/>
    </font>
    <font>
      <b/>
      <sz val="11"/>
      <color rgb="FF1FD0D6"/>
      <name val="Segoe UI"/>
      <family val="2"/>
    </font>
    <font>
      <b/>
      <sz val="9"/>
      <color rgb="FF1FD0D6"/>
      <name val="Segoe UI"/>
      <family val="2"/>
    </font>
    <font>
      <sz val="9"/>
      <color rgb="FFE8EEF4"/>
      <name val="Segoe UI"/>
      <family val="2"/>
    </font>
    <font>
      <sz val="9"/>
      <color rgb="FF1FD0D6"/>
      <name val="Segoe UI"/>
      <family val="2"/>
    </font>
  </fonts>
  <fills count="7">
    <fill>
      <patternFill patternType="none"/>
    </fill>
    <fill>
      <patternFill patternType="gray125"/>
    </fill>
    <fill>
      <patternFill patternType="solid">
        <fgColor rgb="FF0A1218"/>
      </patternFill>
    </fill>
    <fill>
      <patternFill patternType="solid">
        <fgColor rgb="FF0E3A3C"/>
      </patternFill>
    </fill>
    <fill>
      <patternFill patternType="solid">
        <fgColor rgb="FF0A1218"/>
        <bgColor indexed="64"/>
      </patternFill>
    </fill>
    <fill>
      <patternFill patternType="solid">
        <fgColor rgb="FF0D1520"/>
        <bgColor indexed="64"/>
      </patternFill>
    </fill>
    <fill>
      <patternFill patternType="solid">
        <fgColor rgb="FF123D38"/>
        <bgColor indexed="64"/>
      </patternFill>
    </fill>
  </fills>
  <borders count="15">
    <border>
      <left/>
      <right/>
      <top/>
      <bottom/>
      <diagonal/>
    </border>
    <border>
      <left/>
      <right/>
      <top/>
      <bottom/>
      <diagonal/>
    </border>
    <border>
      <left style="medium">
        <color rgb="FF1FD0D6"/>
      </left>
      <right style="thin">
        <color rgb="FF3D4F5C"/>
      </right>
      <top style="medium">
        <color rgb="FF1FD0D6"/>
      </top>
      <bottom style="thin">
        <color rgb="FF3D4F5C"/>
      </bottom>
      <diagonal/>
    </border>
    <border>
      <left style="thin">
        <color rgb="FF3D4F5C"/>
      </left>
      <right style="thin">
        <color rgb="FF3D4F5C"/>
      </right>
      <top style="medium">
        <color rgb="FF1FD0D6"/>
      </top>
      <bottom style="thin">
        <color rgb="FF3D4F5C"/>
      </bottom>
      <diagonal/>
    </border>
    <border>
      <left style="thin">
        <color rgb="FF3D4F5C"/>
      </left>
      <right style="medium">
        <color rgb="FF1FD0D6"/>
      </right>
      <top style="medium">
        <color rgb="FF1FD0D6"/>
      </top>
      <bottom style="thin">
        <color rgb="FF3D4F5C"/>
      </bottom>
      <diagonal/>
    </border>
    <border>
      <left style="medium">
        <color rgb="FF1FD0D6"/>
      </left>
      <right style="thin">
        <color rgb="FF3D4F5C"/>
      </right>
      <top style="thin">
        <color rgb="FF3D4F5C"/>
      </top>
      <bottom style="thin">
        <color rgb="FF3D4F5C"/>
      </bottom>
      <diagonal/>
    </border>
    <border>
      <left style="thin">
        <color rgb="FF3D4F5C"/>
      </left>
      <right style="thin">
        <color rgb="FF3D4F5C"/>
      </right>
      <top style="thin">
        <color rgb="FF3D4F5C"/>
      </top>
      <bottom style="thin">
        <color rgb="FF3D4F5C"/>
      </bottom>
      <diagonal/>
    </border>
    <border>
      <left style="thin">
        <color rgb="FF3D4F5C"/>
      </left>
      <right style="medium">
        <color rgb="FF1FD0D6"/>
      </right>
      <top style="thin">
        <color rgb="FF3D4F5C"/>
      </top>
      <bottom style="thin">
        <color rgb="FF3D4F5C"/>
      </bottom>
      <diagonal/>
    </border>
    <border>
      <left style="medium">
        <color rgb="FF1FD0D6"/>
      </left>
      <right style="thin">
        <color rgb="FF3D4F5C"/>
      </right>
      <top style="thin">
        <color rgb="FF3D4F5C"/>
      </top>
      <bottom style="medium">
        <color rgb="FF1FD0D6"/>
      </bottom>
      <diagonal/>
    </border>
    <border>
      <left style="thin">
        <color rgb="FF3D4F5C"/>
      </left>
      <right style="thin">
        <color rgb="FF3D4F5C"/>
      </right>
      <top style="thin">
        <color rgb="FF3D4F5C"/>
      </top>
      <bottom style="medium">
        <color rgb="FF1FD0D6"/>
      </bottom>
      <diagonal/>
    </border>
    <border>
      <left style="thin">
        <color rgb="FF3D4F5C"/>
      </left>
      <right style="medium">
        <color rgb="FF1FD0D6"/>
      </right>
      <top style="thin">
        <color rgb="FF3D4F5C"/>
      </top>
      <bottom style="medium">
        <color rgb="FF1FD0D6"/>
      </bottom>
      <diagonal/>
    </border>
    <border>
      <left style="medium">
        <color rgb="FF1FD0D6"/>
      </left>
      <right style="medium">
        <color rgb="FF1FD0D6"/>
      </right>
      <top style="medium">
        <color rgb="FF1FD0D6"/>
      </top>
      <bottom style="medium">
        <color rgb="FF1FD0D6"/>
      </bottom>
      <diagonal/>
    </border>
    <border>
      <left style="thin">
        <color rgb="FF1FD0D6"/>
      </left>
      <right style="thin">
        <color rgb="FF1FD0D6"/>
      </right>
      <top style="thin">
        <color rgb="FF1FD0D6"/>
      </top>
      <bottom style="thin">
        <color rgb="FF1FD0D6"/>
      </bottom>
      <diagonal/>
    </border>
    <border>
      <left style="thin">
        <color rgb="FF1FD0D6"/>
      </left>
      <right/>
      <top style="thin">
        <color rgb="FF1FD0D6"/>
      </top>
      <bottom style="thin">
        <color rgb="FF1FD0D6"/>
      </bottom>
      <diagonal/>
    </border>
    <border>
      <left/>
      <right/>
      <top style="thin">
        <color rgb="FF1FD0D6"/>
      </top>
      <bottom style="thin">
        <color rgb="FF1FD0D6"/>
      </bottom>
      <diagonal/>
    </border>
  </borders>
  <cellStyleXfs count="2">
    <xf numFmtId="0" fontId="0" fillId="2" borderId="0">
      <alignment vertical="center"/>
    </xf>
    <xf numFmtId="0" fontId="1" fillId="2" borderId="1">
      <alignment vertical="center"/>
    </xf>
  </cellStyleXfs>
  <cellXfs count="43">
    <xf numFmtId="0" fontId="0" fillId="0" borderId="0" xfId="0" applyFill="1" applyAlignment="1"/>
    <xf numFmtId="0" fontId="0" fillId="2" borderId="0" xfId="0" applyAlignment="1"/>
    <xf numFmtId="0" fontId="4" fillId="2" borderId="0" xfId="0" applyFont="1" applyAlignment="1">
      <alignment vertical="center" wrapText="1"/>
    </xf>
    <xf numFmtId="1" fontId="5" fillId="2" borderId="5" xfId="0" applyNumberFormat="1" applyFont="1" applyBorder="1" applyAlignment="1">
      <alignment horizontal="center" vertical="center"/>
    </xf>
    <xf numFmtId="0" fontId="0" fillId="2" borderId="7" xfId="0" applyBorder="1" applyAlignment="1"/>
    <xf numFmtId="1" fontId="5" fillId="2" borderId="8" xfId="0" applyNumberFormat="1" applyFont="1" applyBorder="1" applyAlignment="1">
      <alignment horizontal="center" vertical="center"/>
    </xf>
    <xf numFmtId="0" fontId="0" fillId="2" borderId="10" xfId="0" applyBorder="1" applyAlignment="1"/>
    <xf numFmtId="0" fontId="0" fillId="2" borderId="8" xfId="0" applyBorder="1" applyAlignment="1"/>
    <xf numFmtId="0" fontId="4" fillId="2" borderId="0" xfId="0" applyFont="1" applyAlignment="1">
      <alignment vertical="center" wrapText="1"/>
    </xf>
    <xf numFmtId="0" fontId="0" fillId="0" borderId="0" xfId="0" applyFill="1" applyAlignment="1"/>
    <xf numFmtId="0" fontId="3" fillId="2" borderId="0" xfId="0" applyFont="1" applyAlignment="1">
      <alignment vertical="center" wrapText="1"/>
    </xf>
    <xf numFmtId="0" fontId="4" fillId="2" borderId="5" xfId="0" applyFont="1" applyBorder="1" applyAlignment="1">
      <alignment vertical="center" wrapText="1"/>
    </xf>
    <xf numFmtId="0" fontId="0" fillId="0" borderId="5" xfId="0" applyFill="1" applyBorder="1" applyAlignment="1"/>
    <xf numFmtId="0" fontId="4" fillId="2" borderId="9" xfId="0" applyFont="1" applyBorder="1" applyAlignment="1">
      <alignment vertical="center" wrapText="1"/>
    </xf>
    <xf numFmtId="0" fontId="0" fillId="0" borderId="9" xfId="0" applyFill="1" applyBorder="1" applyAlignment="1"/>
    <xf numFmtId="0" fontId="1" fillId="2" borderId="6" xfId="0" applyFont="1" applyBorder="1" applyAlignment="1">
      <alignment vertical="center" wrapText="1"/>
    </xf>
    <xf numFmtId="0" fontId="0" fillId="0" borderId="6" xfId="0" applyFill="1" applyBorder="1" applyAlignment="1"/>
    <xf numFmtId="0" fontId="6" fillId="3" borderId="11" xfId="0" applyFont="1" applyFill="1" applyBorder="1" applyAlignment="1" applyProtection="1">
      <alignment horizontal="left" vertical="center" indent="1"/>
      <protection locked="0"/>
    </xf>
    <xf numFmtId="0" fontId="0" fillId="3" borderId="11" xfId="0" applyFill="1" applyBorder="1" applyAlignment="1" applyProtection="1">
      <protection locked="0"/>
    </xf>
    <xf numFmtId="0" fontId="3" fillId="2" borderId="2" xfId="0" applyFont="1" applyBorder="1" applyAlignment="1">
      <alignment vertical="center" wrapText="1"/>
    </xf>
    <xf numFmtId="0" fontId="0" fillId="0" borderId="3" xfId="0" applyFill="1" applyBorder="1" applyAlignment="1"/>
    <xf numFmtId="0" fontId="0" fillId="0" borderId="4" xfId="0" applyFill="1" applyBorder="1" applyAlignment="1"/>
    <xf numFmtId="0" fontId="1" fillId="2" borderId="9" xfId="0" applyFont="1" applyBorder="1" applyAlignment="1">
      <alignment vertical="center" wrapText="1"/>
    </xf>
    <xf numFmtId="0" fontId="6" fillId="3" borderId="6" xfId="0" applyFont="1" applyFill="1" applyBorder="1" applyAlignment="1" applyProtection="1">
      <alignment horizontal="left" vertical="center" wrapText="1" indent="1"/>
      <protection locked="0"/>
    </xf>
    <xf numFmtId="0" fontId="0" fillId="3" borderId="6" xfId="0" applyFill="1" applyBorder="1" applyAlignment="1" applyProtection="1">
      <protection locked="0"/>
    </xf>
    <xf numFmtId="0" fontId="2" fillId="2" borderId="0" xfId="0" applyFont="1" applyAlignment="1">
      <alignment vertical="center" wrapText="1"/>
    </xf>
    <xf numFmtId="0" fontId="7" fillId="0" borderId="0" xfId="0" applyFont="1" applyFill="1" applyAlignment="1"/>
    <xf numFmtId="0" fontId="0" fillId="4" borderId="0" xfId="0" applyFill="1" applyAlignment="1"/>
    <xf numFmtId="0" fontId="8" fillId="4" borderId="0" xfId="0" applyFont="1" applyFill="1" applyAlignment="1">
      <alignment horizontal="left" vertical="top" wrapText="1"/>
    </xf>
    <xf numFmtId="0" fontId="11" fillId="4" borderId="0" xfId="0" applyFont="1" applyFill="1" applyAlignment="1">
      <alignment vertical="center" wrapText="1"/>
    </xf>
    <xf numFmtId="0" fontId="11" fillId="4" borderId="0" xfId="0" applyFont="1" applyFill="1" applyAlignment="1"/>
    <xf numFmtId="0" fontId="11" fillId="4" borderId="0" xfId="0" applyFont="1" applyFill="1" applyAlignment="1">
      <alignment vertical="top" wrapText="1"/>
    </xf>
    <xf numFmtId="0" fontId="12" fillId="5" borderId="0" xfId="0" applyFont="1" applyFill="1" applyAlignment="1">
      <alignment horizontal="center" textRotation="90"/>
    </xf>
    <xf numFmtId="0" fontId="10" fillId="5" borderId="0" xfId="0" applyFont="1" applyFill="1" applyAlignment="1">
      <alignment horizontal="left"/>
    </xf>
    <xf numFmtId="0" fontId="9" fillId="6" borderId="13" xfId="0" applyFont="1" applyFill="1" applyBorder="1" applyAlignment="1" applyProtection="1">
      <alignment horizontal="left" vertical="center" indent="1"/>
      <protection locked="0"/>
    </xf>
    <xf numFmtId="1" fontId="9" fillId="6" borderId="12" xfId="0" applyNumberFormat="1" applyFont="1" applyFill="1" applyBorder="1" applyAlignment="1" applyProtection="1">
      <alignment horizontal="center" vertical="center"/>
      <protection locked="0"/>
    </xf>
    <xf numFmtId="0" fontId="8" fillId="2" borderId="0" xfId="0" applyFont="1" applyAlignment="1">
      <alignment horizontal="left" vertical="top" wrapText="1"/>
    </xf>
    <xf numFmtId="0" fontId="8" fillId="2" borderId="0" xfId="0" applyFont="1" applyAlignment="1">
      <alignment vertical="top" wrapText="1"/>
    </xf>
    <xf numFmtId="0" fontId="11" fillId="2" borderId="0" xfId="0" applyFont="1" applyAlignment="1"/>
    <xf numFmtId="0" fontId="11" fillId="0" borderId="0" xfId="0" applyFont="1" applyFill="1" applyAlignment="1"/>
    <xf numFmtId="0" fontId="9" fillId="6" borderId="14" xfId="0" applyFont="1" applyFill="1" applyBorder="1" applyAlignment="1" applyProtection="1">
      <alignment horizontal="left" vertical="center" indent="1"/>
      <protection locked="0"/>
    </xf>
    <xf numFmtId="0" fontId="9" fillId="6" borderId="13" xfId="0" applyFont="1" applyFill="1" applyBorder="1" applyAlignment="1" applyProtection="1">
      <alignment horizontal="left" vertical="center" indent="1"/>
      <protection locked="0"/>
    </xf>
    <xf numFmtId="0" fontId="9" fillId="4" borderId="13" xfId="0" applyFont="1" applyFill="1" applyBorder="1" applyAlignment="1" applyProtection="1">
      <alignment horizontal="left" vertical="center" indent="1"/>
      <protection locked="0"/>
    </xf>
  </cellXfs>
  <cellStyles count="2">
    <cellStyle name="Normal" xfId="0" builtinId="0"/>
    <cellStyle name="RankExtCanvas" xfId="1" xr:uid="{00000000-0005-0000-0000-000001000000}"/>
  </cellStyles>
  <dxfs count="11">
    <dxf>
      <font>
        <b/>
        <i val="0"/>
        <color rgb="FFD4BC6A"/>
      </font>
    </dxf>
    <dxf>
      <font>
        <color rgb="FFE8EEF4"/>
      </font>
      <fill>
        <patternFill>
          <bgColor rgb="FF0A1218"/>
        </patternFill>
      </fill>
    </dxf>
    <dxf>
      <font>
        <color rgb="FF04262A"/>
      </font>
      <numFmt numFmtId="164" formatCode="0;;"/>
    </dxf>
    <dxf>
      <font>
        <color rgb="FFE8EEF4"/>
      </font>
      <fill>
        <patternFill>
          <bgColor rgb="FF111C28"/>
        </patternFill>
      </fill>
    </dxf>
    <dxf>
      <font>
        <color rgb="FFE8EEF4"/>
      </font>
      <fill>
        <patternFill>
          <bgColor rgb="FF0A1218"/>
        </patternFill>
      </fill>
    </dxf>
    <dxf>
      <font>
        <b/>
        <i val="0"/>
        <color rgb="FFD4BC6A"/>
      </font>
    </dxf>
    <dxf>
      <font>
        <sz val="8"/>
        <color rgb="FFE8EEF4"/>
        <name val="Segoe UI"/>
      </font>
      <fill>
        <patternFill patternType="solid">
          <fgColor rgb="FF0A1218"/>
        </patternFill>
      </fill>
    </dxf>
    <dxf>
      <border>
        <bottom style="thin">
          <color rgb="FF3D4F5C"/>
        </bottom>
      </border>
    </dxf>
    <dxf>
      <border>
        <top style="thin">
          <color rgb="FF3D4F5C"/>
        </top>
      </border>
    </dxf>
    <dxf>
      <font>
        <sz val="9"/>
        <color rgb="FFE8EEF4"/>
        <name val="Segoe UI"/>
      </font>
      <fill>
        <patternFill patternType="solid">
          <fgColor rgb="FF111C28"/>
        </patternFill>
      </fill>
    </dxf>
    <dxf>
      <font>
        <sz val="9"/>
        <color rgb="FFE8EEF4"/>
        <name val="Segoe UI"/>
      </font>
      <fill>
        <patternFill patternType="solid">
          <fgColor rgb="FF0A121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anksFromFolder" backgroundRefresh="0" growShrinkType="overwriteClear" adjustColumnWidth="0" connectionId="1" xr16:uid="{F579CAFE-7CEB-4CCA-84E8-934133ACED4A}" autoFormatId="16" applyNumberFormats="0" applyBorderFormats="0" applyFontFormats="1" applyPatternFormats="1" applyAlignmentFormats="0" applyWidthHeightFormats="0">
  <queryTableRefresh preserveSortFilterLayout="0" nextId="6">
    <queryTableFields count="5">
      <queryTableField id="1" name="ASIN"/>
      <queryTableField id="2" name="Marketplace"/>
      <queryTableField id="3" name="Zip"/>
      <queryTableField id="4" name="Keyword"/>
      <queryTableField id="5" name="Typ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oadStatus" backgroundRefresh="0" growShrinkType="overwriteClear" adjustColumnWidth="0" connectionId="2" xr16:uid="{48F66494-2878-4236-B2D4-F1368A6641EB}" autoFormatId="16" applyNumberFormats="0" applyBorderFormats="0" applyFontFormats="1" applyPatternFormats="1" applyAlignmentFormats="0" applyWidthHeightFormats="0">
  <queryTableRefresh preserveSortFilterLayout="0" nextId="8">
    <queryTableFields count="7">
      <queryTableField id="1" name="FolderDays"/>
      <queryTableField id="2" name="LoadedDays"/>
      <queryTableField id="3" name="RequestedDays"/>
      <queryTableField id="4" name="AutoDays"/>
      <queryTableField id="5" name="SizeCapped"/>
      <queryTableField id="6" name="Clamped"/>
      <queryTableField id="7" name="Note"/>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D0D6"/>
    <pageSetUpPr fitToPage="1"/>
  </sheetPr>
  <dimension ref="A1:D200"/>
  <sheetViews>
    <sheetView showGridLines="0" workbookViewId="0">
      <pane ySplit="6" topLeftCell="A7" activePane="bottomLeft" state="frozen"/>
      <selection pane="bottomLeft" activeCell="B16" sqref="B16:C17"/>
    </sheetView>
  </sheetViews>
  <sheetFormatPr defaultColWidth="0" defaultRowHeight="15" zeroHeight="1" x14ac:dyDescent="0.25"/>
  <cols>
    <col min="1" max="1" width="8" customWidth="1"/>
    <col min="2" max="2" width="88" customWidth="1"/>
    <col min="3" max="3" width="18" customWidth="1"/>
    <col min="4" max="4" width="2.42578125" customWidth="1"/>
    <col min="5" max="5" width="13" hidden="1" customWidth="1"/>
    <col min="6" max="16384" width="13" hidden="1"/>
  </cols>
  <sheetData>
    <row r="1" spans="1:4" x14ac:dyDescent="0.25">
      <c r="A1" s="1"/>
      <c r="B1" s="1"/>
      <c r="C1" s="1"/>
      <c r="D1" s="1"/>
    </row>
    <row r="2" spans="1:4" ht="32.1" customHeight="1" x14ac:dyDescent="0.25">
      <c r="A2" s="25" t="s">
        <v>0</v>
      </c>
      <c r="B2" s="9"/>
      <c r="C2" s="9"/>
      <c r="D2" s="9"/>
    </row>
    <row r="3" spans="1:4" x14ac:dyDescent="0.25">
      <c r="A3" s="10" t="s">
        <v>1</v>
      </c>
      <c r="B3" s="9"/>
      <c r="C3" s="9"/>
      <c r="D3" s="9"/>
    </row>
    <row r="4" spans="1:4" ht="27.95" customHeight="1" x14ac:dyDescent="0.25">
      <c r="A4" s="8" t="s">
        <v>2</v>
      </c>
      <c r="B4" s="9"/>
      <c r="C4" s="9"/>
      <c r="D4" s="9"/>
    </row>
    <row r="5" spans="1:4" x14ac:dyDescent="0.25">
      <c r="A5" s="1"/>
      <c r="B5" s="1"/>
      <c r="C5" s="1"/>
      <c r="D5" s="1"/>
    </row>
    <row r="6" spans="1:4" x14ac:dyDescent="0.25">
      <c r="A6" s="1"/>
      <c r="B6" s="1"/>
      <c r="C6" s="1"/>
      <c r="D6" s="1"/>
    </row>
    <row r="7" spans="1:4" x14ac:dyDescent="0.25">
      <c r="A7" s="19" t="s">
        <v>3</v>
      </c>
      <c r="B7" s="20"/>
      <c r="C7" s="20"/>
      <c r="D7" s="21"/>
    </row>
    <row r="8" spans="1:4" ht="38.1" customHeight="1" x14ac:dyDescent="0.25">
      <c r="A8" s="3">
        <v>1</v>
      </c>
      <c r="B8" s="15" t="s">
        <v>4</v>
      </c>
      <c r="C8" s="16"/>
      <c r="D8" s="4"/>
    </row>
    <row r="9" spans="1:4" ht="38.1" customHeight="1" x14ac:dyDescent="0.25">
      <c r="A9" s="3">
        <v>2</v>
      </c>
      <c r="B9" s="15" t="s">
        <v>5</v>
      </c>
      <c r="C9" s="16"/>
      <c r="D9" s="4"/>
    </row>
    <row r="10" spans="1:4" ht="38.1" customHeight="1" x14ac:dyDescent="0.25">
      <c r="A10" s="3">
        <v>3</v>
      </c>
      <c r="B10" s="15" t="s">
        <v>6</v>
      </c>
      <c r="C10" s="16"/>
      <c r="D10" s="4"/>
    </row>
    <row r="11" spans="1:4" ht="38.1" customHeight="1" x14ac:dyDescent="0.25">
      <c r="A11" s="3">
        <v>4</v>
      </c>
      <c r="B11" s="15" t="s">
        <v>7</v>
      </c>
      <c r="C11" s="16"/>
      <c r="D11" s="4"/>
    </row>
    <row r="12" spans="1:4" ht="38.1" customHeight="1" x14ac:dyDescent="0.25">
      <c r="A12" s="3">
        <v>5</v>
      </c>
      <c r="B12" s="15" t="s">
        <v>8</v>
      </c>
      <c r="C12" s="16"/>
      <c r="D12" s="4"/>
    </row>
    <row r="13" spans="1:4" ht="38.1" customHeight="1" x14ac:dyDescent="0.25">
      <c r="A13" s="5">
        <v>6</v>
      </c>
      <c r="B13" s="22" t="s">
        <v>9</v>
      </c>
      <c r="C13" s="14"/>
      <c r="D13" s="6"/>
    </row>
    <row r="14" spans="1:4" x14ac:dyDescent="0.25">
      <c r="A14" s="1"/>
      <c r="B14" s="1"/>
      <c r="C14" s="1"/>
      <c r="D14" s="1"/>
    </row>
    <row r="15" spans="1:4" x14ac:dyDescent="0.25">
      <c r="A15" s="19" t="s">
        <v>10</v>
      </c>
      <c r="B15" s="20"/>
      <c r="C15" s="20"/>
      <c r="D15" s="21"/>
    </row>
    <row r="16" spans="1:4" ht="27.95" customHeight="1" x14ac:dyDescent="0.25">
      <c r="A16" s="11" t="s">
        <v>11</v>
      </c>
      <c r="B16" s="23"/>
      <c r="C16" s="24"/>
      <c r="D16" s="4"/>
    </row>
    <row r="17" spans="1:4" ht="27.95" customHeight="1" x14ac:dyDescent="0.25">
      <c r="A17" s="12"/>
      <c r="B17" s="24"/>
      <c r="C17" s="24"/>
      <c r="D17" s="4"/>
    </row>
    <row r="18" spans="1:4" ht="27.95" customHeight="1" x14ac:dyDescent="0.25">
      <c r="A18" s="7"/>
      <c r="B18" s="13" t="s">
        <v>12</v>
      </c>
      <c r="C18" s="14"/>
      <c r="D18" s="6"/>
    </row>
    <row r="19" spans="1:4" x14ac:dyDescent="0.25">
      <c r="A19" s="1"/>
      <c r="B19" s="1"/>
      <c r="C19" s="1"/>
      <c r="D19" s="1"/>
    </row>
    <row r="20" spans="1:4" x14ac:dyDescent="0.25">
      <c r="A20" s="10" t="s">
        <v>13</v>
      </c>
      <c r="B20" s="9"/>
      <c r="C20" s="9"/>
      <c r="D20" s="9"/>
    </row>
    <row r="21" spans="1:4" ht="27.95" customHeight="1" x14ac:dyDescent="0.25">
      <c r="A21" s="2" t="s">
        <v>14</v>
      </c>
      <c r="B21" s="17"/>
      <c r="C21" s="18"/>
      <c r="D21" s="1"/>
    </row>
    <row r="22" spans="1:4" ht="27.95" customHeight="1" x14ac:dyDescent="0.25">
      <c r="A22" s="1"/>
      <c r="B22" s="8" t="s">
        <v>15</v>
      </c>
      <c r="C22" s="9"/>
      <c r="D22" s="1"/>
    </row>
    <row r="23" spans="1:4" x14ac:dyDescent="0.25">
      <c r="A23" s="1"/>
      <c r="B23" s="1"/>
      <c r="C23" s="1"/>
      <c r="D23" s="1"/>
    </row>
    <row r="24" spans="1:4" x14ac:dyDescent="0.25">
      <c r="A24" s="1"/>
      <c r="B24" s="1"/>
      <c r="C24" s="1"/>
      <c r="D24" s="1"/>
    </row>
    <row r="25" spans="1:4" ht="36" customHeight="1" x14ac:dyDescent="0.25">
      <c r="A25" s="2" t="s">
        <v>16</v>
      </c>
      <c r="B25" s="36" t="str">
        <f>IF(COUNTA(_All!A:A)&lt;2,IF(AND(COUNTA(_Status!A:A)&gt;=2,_Status!G2&lt;&gt;""),_Status!G2,"No rank_export CSV files found. Paste the folder path above, then Refresh All."),_xlfn.LET(_xlpm.k,COUNTA(_xlfn.UNIQUE(_All!D2:INDEX(_All!D:D,COUNTA(_All!D:D)))),_xlpm.d,MAX(0,COUNTA(_All!1:1)-5),_xlpm.a,COUNTA(_xlfn.UNIQUE(_All!A2:INDEX(_All!A:A,COUNTA(_All!A:A)))),_xlpm.k&amp;" keyword"&amp;IF(_xlpm.k=1,"","s")&amp;"  |  "&amp;_xlpm.d&amp;" day"&amp;IF(_xlpm.d=1,"","s")&amp;"  |  "&amp;_xlpm.a&amp;" ASIN"&amp;IF(_xlpm.a=1,"","s")))</f>
        <v>No rank_export CSV files found. Paste the folder path above, then Refresh All.</v>
      </c>
      <c r="C25" s="36"/>
      <c r="D25" s="36"/>
    </row>
    <row r="26" spans="1:4" ht="36" customHeight="1" x14ac:dyDescent="0.25">
      <c r="A26" s="1"/>
      <c r="B26" s="37" t="str">
        <f>IF(COUNTA(_All!A:A)&lt;2,"",IF(AND(COUNTA(_Status!A:A)&gt;=2,_Status!F2=TRUE),_Status!G2,"Range, Sort, View ASIN, and Older apply immediately within loaded data. Choose a deeper Range, add a CSV, change the folder, or set Start ASIN, then Refresh All."))</f>
        <v/>
      </c>
      <c r="C26" s="37"/>
      <c r="D26" s="37"/>
    </row>
    <row r="27" spans="1:4" x14ac:dyDescent="0.25">
      <c r="A27" s="8" t="s">
        <v>17</v>
      </c>
      <c r="B27" s="9"/>
      <c r="C27" s="9"/>
      <c r="D27" s="9"/>
    </row>
    <row r="200" spans="4:4" hidden="1" x14ac:dyDescent="0.25">
      <c r="D200" t="str">
        <f>B16&amp;CHAR(30)&amp;B21&amp;CHAR(30)&amp;Ranks!B2&amp;CHAR(30)&amp;Ranks!E2</f>
        <v>_x001E__x001E_Last 7 days_x001E_0</v>
      </c>
    </row>
  </sheetData>
  <sheetProtection sheet="1" objects="1" scenarios="1" selectLockedCells="1"/>
  <protectedRanges>
    <protectedRange sqref="B16:C17" name="ExportFolder"/>
    <protectedRange sqref="B21:C21" name="AsinFilter"/>
  </protectedRanges>
  <mergeCells count="20">
    <mergeCell ref="B25:D25"/>
    <mergeCell ref="A27:D27"/>
    <mergeCell ref="A3:D3"/>
    <mergeCell ref="A2:D2"/>
    <mergeCell ref="B26:D26"/>
    <mergeCell ref="A4:D4"/>
    <mergeCell ref="A20:D20"/>
    <mergeCell ref="B22:C22"/>
    <mergeCell ref="A16:A17"/>
    <mergeCell ref="B18:C18"/>
    <mergeCell ref="B12:C12"/>
    <mergeCell ref="B21:C21"/>
    <mergeCell ref="B11:C11"/>
    <mergeCell ref="A15:D15"/>
    <mergeCell ref="B8:C8"/>
    <mergeCell ref="B13:C13"/>
    <mergeCell ref="B16:C17"/>
    <mergeCell ref="B10:C10"/>
    <mergeCell ref="A7:D7"/>
    <mergeCell ref="B9:C9"/>
  </mergeCells>
  <pageMargins left="0.4" right="0.4" top="0.5" bottom="0.5" header="0.5" footer="0.5"/>
  <pageSetup fitToHeight="0"/>
  <extLst>
    <ext xmlns:x14="http://schemas.microsoft.com/office/spreadsheetml/2009/9/main" uri="{78C0D931-6437-407d-A8EE-F0AAD7539E65}">
      <x14:conditionalFormattings>
        <x14:conditionalFormatting xmlns:xm="http://schemas.microsoft.com/office/excel/2006/main">
          <x14:cfRule type="expression" priority="1" id="{6C94587A-21BD-4967-BA32-3A18F5836588}">
            <xm:f>AND(COUNTA(_Status!A:A)&gt;=2,_Status!G2&lt;&gt;"")</xm:f>
            <x14:dxf>
              <font>
                <b/>
                <i val="0"/>
                <color rgb="FFD4BC6A"/>
              </font>
            </x14:dxf>
          </x14:cfRule>
          <xm:sqref>B25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
  <sheetViews>
    <sheetView showGridLines="0" workbookViewId="0"/>
  </sheetViews>
  <sheetFormatPr defaultRowHeight="15" x14ac:dyDescent="0.25"/>
  <sheetData>
    <row r="1" spans="1:5" x14ac:dyDescent="0.25">
      <c r="A1" s="26" t="s">
        <v>18</v>
      </c>
      <c r="B1" s="26" t="s">
        <v>19</v>
      </c>
      <c r="C1" s="26" t="s">
        <v>20</v>
      </c>
      <c r="D1" s="26" t="s">
        <v>21</v>
      </c>
      <c r="E1" s="26"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D0D6"/>
    <pageSetUpPr fitToPage="1"/>
  </sheetPr>
  <dimension ref="A1:E5"/>
  <sheetViews>
    <sheetView showGridLines="0" tabSelected="1" workbookViewId="0">
      <pane xSplit="5" ySplit="4" topLeftCell="F5" activePane="bottomRight" state="frozen"/>
      <selection pane="topRight" activeCell="F1" sqref="F1"/>
      <selection pane="bottomLeft" activeCell="A5" sqref="A5"/>
      <selection pane="bottomRight" activeCell="F5" sqref="F5"/>
    </sheetView>
  </sheetViews>
  <sheetFormatPr defaultColWidth="4.85546875" defaultRowHeight="15" x14ac:dyDescent="0.25"/>
  <cols>
    <col min="1" max="1" width="13.7109375" style="39" customWidth="1"/>
    <col min="2" max="2" width="7.7109375" style="39" customWidth="1"/>
    <col min="3" max="3" width="8.7109375" style="39" customWidth="1"/>
    <col min="4" max="4" width="34.7109375" style="39" customWidth="1"/>
    <col min="5" max="5" width="12.7109375" style="39" customWidth="1"/>
  </cols>
  <sheetData>
    <row r="1" spans="1:5" s="27" customFormat="1" ht="15.95" customHeight="1" x14ac:dyDescent="0.25">
      <c r="A1" s="29" t="s">
        <v>23</v>
      </c>
      <c r="B1" s="29" t="s">
        <v>24</v>
      </c>
      <c r="C1" s="30"/>
      <c r="D1" s="29" t="s">
        <v>25</v>
      </c>
      <c r="E1" s="29" t="s">
        <v>26</v>
      </c>
    </row>
    <row r="2" spans="1:5" s="27" customFormat="1" ht="27.95" customHeight="1" x14ac:dyDescent="0.25">
      <c r="A2" s="42"/>
      <c r="B2" s="41" t="s">
        <v>27</v>
      </c>
      <c r="C2" s="40"/>
      <c r="D2" s="34" t="s">
        <v>28</v>
      </c>
      <c r="E2" s="35">
        <v>0</v>
      </c>
    </row>
    <row r="3" spans="1:5" s="27" customFormat="1" ht="87.95" customHeight="1" x14ac:dyDescent="0.25">
      <c r="A3" s="28" t="str">
        <f>_xlfn.LET(_xlpm.h,_xlfn._LONGTEXT("↑ Range, Sort, and Older (days) apply immediately when those days are already loaded; choose a deeper Range and Refresh All to ingest it. Older = days back from the newest loaded dates (0 = newest window; 7 = one week further into the past, like Older in ","Trends). After you add a CSV or change the folder or ASIN on Start, click Refresh All. Rank and Absolute sorts use the newest visible day. Blank means not found and sorts as worst. Each keyword stays together with every Type.")&amp;CHAR(10)&amp;CHAR(10)&amp;"↓ View ASIN filters the loaded grid immediately. Start-sheet ASIN plus Refresh All can load deeper history for one product.",_xlpm.n,IF(COUNTA(_Status!A:A)&gt;=2,_Status!G2,""),_xlpm.e,COUNTA(_All!A:A)&lt;2,IF(_xlpm.e,IF(_xlpm.n&lt;&gt;"",_xlpm.n,"Nothing loaded yet. On the Start sheet, paste the folder holding your rank_export CSV files into Your folder, then Data &gt; Refresh All."),IF(_xlpm.n&lt;&gt;"",_xlpm.n&amp;CHAR(10)&amp;CHAR(10)&amp;_xlpm.h,_xlpm.h)))</f>
        <v>Nothing loaded yet. On the Start sheet, paste the folder holding your rank_export CSV files into Your folder, then Data &gt; Refresh All.</v>
      </c>
      <c r="B3" s="31"/>
      <c r="C3" s="31"/>
      <c r="D3" s="31"/>
      <c r="E3" s="31"/>
    </row>
    <row r="4" spans="1:5" s="32" customFormat="1" ht="56.1" customHeight="1" x14ac:dyDescent="0.2">
      <c r="A4" s="33" t="str" cm="1">
        <f t="array" ref="A4:E4">IF(COUNTA(_All!A:A)&lt;2,{"ASIN","Marketplace","Zip","Keyword","Type"},_xlfn.LET(_xlpm.lastRow,COUNTA(_All!A:A),_xlpm.lastCol,COUNTA(_All!1:1),_xlpm.src,_All!A1:INDEX(_All!1:1048576,_xlpm.lastRow,_xlpm.lastCol),_xlpm.head,_xlfn.TAKE(_xlpm.src,1),_xlpm.rawBody,_xlfn.DROP(_xlpm.src,1),_xlpm.viewAsin,UPPER(TRIM(ViewAsin)),_xlpm.body,IF(_xlpm.viewAsin="",_xlpm.rawBody,_xlfn._xlws.FILTER(_xlpm.rawBody,UPPER(_xlfn.CHOOSECOLS(_xlpm.rawBody,1))=_xlpm.viewAsin)),_xlpm.idB,_xlfn.TAKE(_xlpm.body,,5),_xlpm.dtB,_xlfn.DROP(_xlpm.body,,5),_xlpm.n,COLUMNS(_xlpm.dtB),_xlpm.win,TRIM(DateWindow),_xlpm.keep,IF(_xlpm.win="Last 7 days",7,IF(_xlpm.win="Last 30 days",30,IF(_xlpm.win="Last 90 days",90,_xlpm.n))),_xlpm.k,MIN(MIN(_xlpm.keep,_xlpm.n),2000),_xlfn.LET(_xlpm.raw,_xlfn.TAKE(_xlpm.dtB,,-_xlpm.k),_xlpm.nums,IF((_xlpm.raw=0)+(_xlpm.raw=""),0,_xlpm.raw+0),_xlpm.shown,_xlpm.nums,_xlpm.hDates,_xlfn.DROP(_xlpm.head,,5),_xlpm.hShown,_xlfn.TAKE(_xlpm.hDates,,-_xlpm.k),_xlfn.LET(_xlpm.grid,_xlfn.HSTACK(_xlpm.idB,_xlpm.shown),_xlpm.hdr,_xlfn.HSTACK(_xlfn.TAKE(_xlpm.head,,5),_xlpm.hShown),_xlpm.kw,_xlfn.CHOOSECOLS(_xlpm.idB,4),_xlpm.typ,_xlfn.CHOOSECOLS(_xlpm.idB,5),_xlpm.keys,_xlfn.CHOOSECOLS(_xlpm.idB,1)&amp;"|"&amp;_xlfn.CHOOSECOLS(_xlpm.idB,2)&amp;"|"&amp;_xlfn.CHOOSECOLS(_xlpm.idB,3)&amp;"|"&amp;_xlpm.kw,_xlpm.newest,_xlfn.CHOOSECOLS(_xlpm.shown,COLUMNS(_xlpm.shown)),_xlpm.prior,_xlfn.CHOOSECOLS(_xlpm.shown,MAX(1,COLUMNS(_xlpm.shown)-7)),_xlpm.nz,IF((_xlpm.newest=0)+(_xlpm.newest=""),9999,_xlpm.newest+0),_xlpm.pz,IF((_xlpm.prior=0)+(_xlpm.prior=""),9999,_xlpm.prior+0),_xlpm.rk,IFERROR(_xlfn.XLOOKUP(_xlpm.keys,_xlfn._xlws.FILTER(_xlpm.keys,_xlpm.typ="Rank"),_xlfn._xlws.FILTER(_xlpm.nz,_xlpm.typ="Rank")),9999),_xlpm.og,IFERROR(_xlfn.XLOOKUP(_xlpm.keys,_xlfn._xlws.FILTER(_xlpm.keys,_xlpm.typ="Absolute"),_xlfn._xlws.FILTER(_xlpm.nz,_xlpm.typ="Absolute")),9999),_xlpm.op,IFERROR(_xlfn.XLOOKUP(_xlpm.keys,_xlfn._xlws.FILTER(_xlpm.keys,_xlpm.typ="Absolute"),_xlfn._xlws.FILTER(_xlpm.pz,_xlpm.typ="Absolute")),9999),_xlpm.dlt,IF((_xlpm.og=9999)+(_xlpm.op=9999),0,_xlpm.op-_xlpm.og),_xlpm.ord,IF(_xlpm.typ="Rank",1,IF(_xlpm.typ="Absolute",2,IF(_xlpm.typ="Sponsored",3,IF(_xlpm.typ="Collection",4,IF(_xlpm.typ="Carousel",5,IF(_xlpm.typ="Store",6,IF(_xlpm.typ="Brand video",7,8))))))),_xlpm.sk,TRIM(RankSort),_xlpm.sorted,IF(_xlpm.sk="Keyword Z to A",_xlfn.SORTBY(_xlpm.grid,_xlpm.kw,-1,_xlpm.ord,1),IF(_xlpm.sk="Rank best first",_xlfn.SORTBY(_xlpm.grid,_xlpm.rk,1,_xlpm.kw,1,_xlpm.ord,1),IF(_xlpm.sk="Rank worst first",_xlfn.SORTBY(_xlpm.grid,_xlpm.rk,-1,_xlpm.kw,1,_xlpm.ord,1),IF(_xlpm.sk="Absolute best first",_xlfn.SORTBY(_xlpm.grid,_xlpm.og,1,_xlpm.kw,1,_xlpm.ord,1),IF(_xlpm.sk="Absolute worst first",_xlfn.SORTBY(_xlpm.grid,_xlpm.og,-1,_xlpm.kw,1,_xlpm.ord,1),IF(_xlpm.sk="7-day largest improvement",_xlfn.SORTBY(_xlpm.grid,_xlpm.dlt,-1,_xlpm.kw,1,_xlpm.ord,1),IF(_xlpm.sk="7-day largest decline",_xlfn.SORTBY(_xlpm.grid,_xlpm.dlt,1,_xlpm.kw,1,_xlpm.ord,1),_xlfn.SORTBY(_xlpm.grid,_xlpm.kw,1,_xlpm.ord,1)))))))),_xlfn.VSTACK(_xlpm.hdr,IF(ROWS(_xlpm.idB)&gt;8000,_xlpm.grid,_xlpm.sorted))))))</f>
        <v>ASIN</v>
      </c>
      <c r="B4" s="33" t="str">
        <v>Marketplace</v>
      </c>
      <c r="C4" s="33" t="str">
        <v>Zip</v>
      </c>
      <c r="D4" s="33" t="str">
        <v>Keyword</v>
      </c>
      <c r="E4" s="33" t="str">
        <v>Type</v>
      </c>
    </row>
    <row r="5" spans="1:5" x14ac:dyDescent="0.25">
      <c r="A5" s="38"/>
      <c r="B5" s="38"/>
      <c r="C5" s="38"/>
      <c r="D5" s="38"/>
      <c r="E5" s="38"/>
    </row>
  </sheetData>
  <sheetProtection sheet="1" objects="1" scenarios="1" autoFilter="0"/>
  <protectedRanges>
    <protectedRange sqref="A2" name="ViewAsin"/>
    <protectedRange sqref="B2:C2" name="DateWindow"/>
    <protectedRange sqref="D2" name="RankSort"/>
    <protectedRange sqref="E2" name="PageOffset"/>
  </protectedRanges>
  <mergeCells count="2">
    <mergeCell ref="B2:C2"/>
    <mergeCell ref="A3:E3"/>
  </mergeCells>
  <conditionalFormatting sqref="A5:E50000">
    <cfRule type="expression" dxfId="4" priority="8" stopIfTrue="1">
      <formula>MOD(SUM(--($D$5:$D5&lt;&gt;$D$4:$D4)),2)=0</formula>
    </cfRule>
    <cfRule type="expression" dxfId="3" priority="9" stopIfTrue="1">
      <formula>MOD(SUM(--($D$5:$D5&lt;&gt;$D$4:$D4)),2)=1</formula>
    </cfRule>
    <cfRule type="expression" priority="10" stopIfTrue="1">
      <formula>$D5&lt;&gt;$D4</formula>
    </cfRule>
    <cfRule type="expression" priority="11" stopIfTrue="1">
      <formula>$D5&lt;&gt;$D6</formula>
    </cfRule>
  </conditionalFormatting>
  <conditionalFormatting sqref="F5:BYC50000">
    <cfRule type="expression" dxfId="2" priority="12">
      <formula>F5&lt;&gt;""</formula>
    </cfRule>
    <cfRule type="expression" dxfId="1" priority="13" stopIfTrue="1">
      <formula>OR(F5="",F5=0)</formula>
    </cfRule>
    <cfRule type="colorScale" priority="14">
      <colorScale>
        <cfvo type="num" val="1"/>
        <cfvo type="num" val="40"/>
        <cfvo type="num" val="150"/>
        <color rgb="FF1FD0D6"/>
        <color rgb="FFD4BC6A"/>
        <color rgb="FFE24B5C"/>
      </colorScale>
    </cfRule>
  </conditionalFormatting>
  <dataValidations count="3">
    <dataValidation type="list" showInputMessage="1" showErrorMessage="1" errorTitle="Range" error="Pick a date range" promptTitle="Range" prompt="How many newest loaded days to show. Refresh All to load a deeper window." sqref="B2" xr:uid="{00000000-0002-0000-0200-000000000000}">
      <formula1>"Last 7 days,Last 30 days,Last 90 days,All dates"</formula1>
    </dataValidation>
    <dataValidation type="list" showInputMessage="1" showErrorMessage="1" errorTitle="Sort" error="Pick a sort" promptTitle="Sort" prompt="Keyword groups stay together. Applies immediately." sqref="D2" xr:uid="{00000000-0002-0000-0200-000001000000}">
      <formula1>"Keyword A to Z,Keyword Z to A,Rank best first,Rank worst first,Absolute best first,Absolute worst first,7-day largest improvement,7-day largest decline"</formula1>
    </dataValidation>
    <dataValidation type="whole" operator="greaterThanOrEqual" showInputMessage="1" showErrorMessage="1" errorTitle="Older (days)" error="Older must be 0 or a whole number of days back." promptTitle="Older (days)" prompt="Days back from the newest loaded dates. 0 = newest window. 7 = one week further into the past (like Older in Trends)." sqref="E2" xr:uid="{00000000-0002-0000-0200-000002000000}">
      <formula1>0</formula1>
    </dataValidation>
  </dataValidations>
  <pageMargins left="0.4" right="0.4" top="0.5" bottom="0.5" header="0.5" footer="0.5"/>
  <pageSetup fitToHeight="0"/>
  <extLst>
    <ext xmlns:x14="http://schemas.microsoft.com/office/spreadsheetml/2009/9/main" uri="{78C0D931-6437-407d-A8EE-F0AAD7539E65}">
      <x14:conditionalFormattings>
        <x14:conditionalFormatting xmlns:xm="http://schemas.microsoft.com/office/excel/2006/main">
          <x14:cfRule type="expression" priority="7" id="{B7351085-AC9A-4B57-93D3-BD4DF8FC63CE}">
            <xm:f>AND(COUNTA(_Status!A:A)&gt;=2,_Status!G2&lt;&gt;"")</xm:f>
            <x14:dxf>
              <font>
                <b/>
                <i val="0"/>
                <color rgb="FFD4BC6A"/>
              </font>
            </x14:dxf>
          </x14:cfRule>
          <xm:sqref>A3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showGridLines="0" workbookViewId="0"/>
  </sheetViews>
  <sheetFormatPr defaultRowHeight="15" x14ac:dyDescent="0.25"/>
  <sheetData>
    <row r="1" spans="1:7" x14ac:dyDescent="0.25">
      <c r="A1" s="26" t="s">
        <v>29</v>
      </c>
      <c r="B1" s="26" t="s">
        <v>30</v>
      </c>
      <c r="C1" s="26" t="s">
        <v>31</v>
      </c>
      <c r="D1" s="26" t="s">
        <v>32</v>
      </c>
      <c r="E1" s="26" t="s">
        <v>33</v>
      </c>
      <c r="F1" s="26" t="s">
        <v>34</v>
      </c>
      <c r="G1" s="26" t="s">
        <v>35</v>
      </c>
    </row>
    <row r="2" spans="1:7" x14ac:dyDescent="0.25">
      <c r="A2">
        <v>0</v>
      </c>
      <c r="B2">
        <v>0</v>
      </c>
      <c r="C2">
        <v>0</v>
      </c>
      <c r="D2">
        <v>2000</v>
      </c>
      <c r="E2" t="b">
        <v>0</v>
      </c>
      <c r="F2" t="b">
        <v>0</v>
      </c>
      <c r="G2" t="s">
        <v>36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F590DD-6F10-496C-B3C5-99890E3BBB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Start</vt:lpstr>
      <vt:lpstr>Ranks</vt:lpstr>
      <vt:lpstr>AsinFilter</vt:lpstr>
      <vt:lpstr>DateWindow</vt:lpstr>
      <vt:lpstr>ExportFolder</vt:lpstr>
      <vt:lpstr>_Status!LoadStatus</vt:lpstr>
      <vt:lpstr>PageOffset</vt:lpstr>
      <vt:lpstr>QueryInputs</vt:lpstr>
      <vt:lpstr>_All!RanksFromFolder</vt:lpstr>
      <vt:lpstr>RankSort</vt:lpstr>
      <vt:lpstr>ViewAsin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Live Amazon Rank Tracker</dc:creator>
  <cp:lastModifiedBy>Live Amazon Rank Tracker</cp:lastModifiedBy>
  <dcterms:created xsi:type="dcterms:W3CDTF">2026-09-02T18:30:17Z</dcterms:created>
  <dcterms:modified xsi:type="dcterms:W3CDTF">2026-09-02T18:30:27Z</dcterms:modified>
</cp:coreProperties>
</file>